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b9903\Downloads\xlsx2html-master\xlsx2html-master\tests\fixtures\"/>
    </mc:Choice>
  </mc:AlternateContent>
  <xr:revisionPtr revIDLastSave="0" documentId="13_ncr:1_{9B2317DF-0B4B-4AC7-AA21-CCDC69A35A85}" xr6:coauthVersionLast="45" xr6:coauthVersionMax="45" xr10:uidLastSave="{00000000-0000-0000-0000-000000000000}"/>
  <bookViews>
    <workbookView xWindow="1944" yWindow="-108" windowWidth="21204" windowHeight="13176" tabRatio="391" activeTab="2" xr2:uid="{00000000-000D-0000-FFFF-FFFF00000000}"/>
  </bookViews>
  <sheets>
    <sheet name="123" sheetId="1" r:id="rId1"/>
    <sheet name="工作表1" sheetId="4" r:id="rId2"/>
    <sheet name="a" sheetId="2" r:id="rId3"/>
    <sheet name="Лист3" sheetId="3" r:id="rId4"/>
  </sheets>
  <functionGroups builtInGroupCount="19"/>
  <calcPr calcId="191029" iterateDelta="1E-4"/>
  <pivotCaches>
    <pivotCache cacheId="0" r:id="rId5"/>
  </pivotCaches>
</workbook>
</file>

<file path=xl/calcChain.xml><?xml version="1.0" encoding="utf-8"?>
<calcChain xmlns="http://schemas.openxmlformats.org/spreadsheetml/2006/main">
  <c r="B42" i="1" l="1"/>
  <c r="B40" i="1"/>
  <c r="B39" i="1"/>
  <c r="B38" i="1"/>
  <c r="B35" i="1"/>
</calcChain>
</file>

<file path=xl/sharedStrings.xml><?xml version="1.0" encoding="utf-8"?>
<sst xmlns="http://schemas.openxmlformats.org/spreadsheetml/2006/main" count="38" uniqueCount="25">
  <si>
    <t>Размеры страховых премий по договорам страхования в рамках международной системы страхования 
«Зеленая карта», применяемые с 15 августа 2016 года по 14 сентября 2016 года</t>
  </si>
  <si>
    <t>Размеры страховых премий по международному страхованию гражданской ответственности владельцев транспортных средств «Зеленая карта» для территории действия «Все страны системы «Зеленая карта» (рублей).</t>
  </si>
  <si>
    <t>Применяются с «15» августа 2016 года до «14» сентября 2016 года включительно</t>
  </si>
  <si>
    <t>Тип транспортного средства</t>
  </si>
  <si>
    <t>Срок страхования, месяцев</t>
  </si>
  <si>
    <t>15 дней</t>
  </si>
  <si>
    <t>Легковые автомобили</t>
  </si>
  <si>
    <t>Прицепы к легковым автомобилям</t>
  </si>
  <si>
    <t>Грузовые автомобили, тягачи</t>
  </si>
  <si>
    <t>Прицепы и полуприцепы к грузовым автомобилям и тягачам</t>
  </si>
  <si>
    <t>Автобусы</t>
  </si>
  <si>
    <t>Мотоциклы, мотороллеры, мотоколяски и мопеды</t>
  </si>
  <si>
    <t>Сельскохозяйственная и строительная техника</t>
  </si>
  <si>
    <t>Размеры страховых тарифов по международному страхованию гражданской ответственности владельцев транспортных средств «Зеленая карта» для территории действия «Республика Беларусь, Республика Молдова, Украина и Азербайджанская Республика» (рублей).</t>
  </si>
  <si>
    <t>test</t>
  </si>
  <si>
    <t>1pt</t>
  </si>
  <si>
    <t>1.5pt</t>
  </si>
  <si>
    <t>欄1</t>
  </si>
  <si>
    <t>欄2</t>
  </si>
  <si>
    <t>欄3</t>
  </si>
  <si>
    <t>我我我</t>
    <phoneticPr fontId="8" type="noConversion"/>
  </si>
  <si>
    <t>加總 - 欄1</t>
  </si>
  <si>
    <t>列標籤</t>
  </si>
  <si>
    <t>我我我</t>
  </si>
  <si>
    <t>總計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</si>
</sst>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#,##0.00\ [$р.-419];\-#,##0.00\ [$р.-419]"/>
    <numFmt numFmtId="177" formatCode="_-* #,##0_р_._-;\-* #,##0_р_._-;_-* \-_р_._-;_-@_-"/>
    <numFmt numFmtId="178" formatCode="#,###.00"/>
    <numFmt numFmtId="179" formatCode="dd/mm/yyyy\ hh:mm:ss"/>
    <numFmt numFmtId="180" formatCode="[Red]0.00"/>
    <numFmt numFmtId="181" formatCode="mm/dd/yy\ hh:mm\ AM/PM"/>
    <numFmt numFmtId="182" formatCode="mm/dd/yy"/>
  </numFmts>
  <fonts count="11" x14ac:knownFonts="1">
    <font>
      <sz val="11"/>
      <color rgb="FF000000"/>
      <name val="Calibri"/>
      <family val="2"/>
      <charset val="204"/>
    </font>
    <font>
      <b/>
      <sz val="12"/>
      <color rgb="FF000000"/>
      <name val="Times New Roman"/>
      <family val="1"/>
      <charset val="204"/>
    </font>
    <font>
      <sz val="14"/>
      <color rgb="FF00000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b/>
      <sz val="11"/>
      <color rgb="FF000000"/>
      <name val="Times New Roman"/>
      <family val="1"/>
      <charset val="204"/>
    </font>
    <font>
      <sz val="11"/>
      <color rgb="FF000000"/>
      <name val="Times New Roman"/>
      <family val="1"/>
      <charset val="204"/>
    </font>
    <font>
      <sz val="11"/>
      <color rgb="FF800000"/>
      <name val="Calibri"/>
      <family val="2"/>
      <charset val="204"/>
    </font>
    <font>
      <sz val="9"/>
      <name val="細明體"/>
      <family val="3"/>
      <charset val="136"/>
    </font>
    <font>
      <sz val="11"/>
      <color rgb="FFFF0000"/>
      <name val="Calibri"/>
      <family val="2"/>
      <charset val="204"/>
    </font>
    <font>
      <sz val="11"/>
      <color rgb="FFFF0000"/>
      <name val="細明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thick">
        <color rgb="FF008000"/>
      </left>
      <right style="thick">
        <color rgb="FF008000"/>
      </right>
      <top style="thick">
        <color rgb="FF008000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ck">
        <color rgb="FF008000"/>
      </left>
      <right style="thick">
        <color rgb="FF008000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ck">
        <color rgb="FF008000"/>
      </left>
      <right style="thick">
        <color rgb="FF008000"/>
      </right>
      <top/>
      <bottom style="thick">
        <color rgb="FF008000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dashDotDot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3" fillId="0" borderId="2" xfId="0" applyFont="1" applyBorder="1" applyAlignment="1">
      <alignment horizontal="center"/>
    </xf>
    <xf numFmtId="0" fontId="3" fillId="0" borderId="3" xfId="0" applyFont="1" applyBorder="1"/>
    <xf numFmtId="176" fontId="4" fillId="0" borderId="2" xfId="0" applyNumberFormat="1" applyFont="1" applyBorder="1" applyAlignment="1">
      <alignment horizontal="center"/>
    </xf>
    <xf numFmtId="177" fontId="4" fillId="0" borderId="2" xfId="0" applyNumberFormat="1" applyFont="1" applyBorder="1" applyAlignment="1">
      <alignment horizontal="center"/>
    </xf>
    <xf numFmtId="178" fontId="4" fillId="0" borderId="2" xfId="0" applyNumberFormat="1" applyFont="1" applyBorder="1" applyAlignment="1">
      <alignment horizontal="center"/>
    </xf>
    <xf numFmtId="0" fontId="0" fillId="2" borderId="5" xfId="0" applyFill="1" applyBorder="1"/>
    <xf numFmtId="0" fontId="0" fillId="0" borderId="6" xfId="0" applyBorder="1"/>
    <xf numFmtId="0" fontId="0" fillId="0" borderId="7" xfId="0" applyBorder="1"/>
    <xf numFmtId="0" fontId="7" fillId="0" borderId="8" xfId="0" applyFont="1" applyBorder="1"/>
    <xf numFmtId="0" fontId="0" fillId="0" borderId="9" xfId="0" applyBorder="1"/>
    <xf numFmtId="176" fontId="0" fillId="0" borderId="0" xfId="0" applyNumberFormat="1"/>
    <xf numFmtId="0" fontId="0" fillId="0" borderId="11" xfId="0" applyBorder="1"/>
    <xf numFmtId="0" fontId="0" fillId="0" borderId="12" xfId="0" applyBorder="1"/>
    <xf numFmtId="0" fontId="0" fillId="0" borderId="13" xfId="0" applyBorder="1"/>
    <xf numFmtId="179" fontId="0" fillId="0" borderId="0" xfId="0" applyNumberFormat="1"/>
    <xf numFmtId="180" fontId="0" fillId="0" borderId="0" xfId="0" applyNumberFormat="1"/>
    <xf numFmtId="181" fontId="0" fillId="0" borderId="14" xfId="0" applyNumberFormat="1" applyBorder="1"/>
    <xf numFmtId="0" fontId="0" fillId="0" borderId="15" xfId="0" applyFont="1" applyBorder="1"/>
    <xf numFmtId="182" fontId="0" fillId="0" borderId="0" xfId="0" applyNumberFormat="1"/>
    <xf numFmtId="19" fontId="0" fillId="0" borderId="16" xfId="0" applyNumberFormat="1" applyBorder="1"/>
    <xf numFmtId="21" fontId="0" fillId="0" borderId="0" xfId="0" applyNumberForma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9" fillId="3" borderId="0" xfId="0" applyFont="1" applyFill="1"/>
    <xf numFmtId="0" fontId="10" fillId="3" borderId="0" xfId="0" applyFont="1" applyFill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1" fillId="0" borderId="0" xfId="0" applyFont="1" applyBorder="1" applyAlignment="1">
      <alignment horizontal="center" wrapText="1"/>
    </xf>
    <xf numFmtId="0" fontId="2" fillId="0" borderId="0" xfId="0" applyFont="1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3" fillId="0" borderId="1" xfId="0" applyFont="1" applyBorder="1"/>
    <xf numFmtId="0" fontId="6" fillId="0" borderId="4" xfId="0" applyFont="1" applyBorder="1" applyAlignment="1">
      <alignment horizontal="left" vertical="center" wrapText="1"/>
    </xf>
    <xf numFmtId="0" fontId="0" fillId="0" borderId="10" xfId="0" applyBorder="1" applyAlignment="1">
      <alignment horizontal="center" vertical="center"/>
    </xf>
    <xf numFmtId="0" fontId="5" fillId="0" borderId="4" xfId="0" applyFont="1" applyBorder="1" applyAlignment="1">
      <alignment horizontal="left" vertical="center" wrapText="1"/>
    </xf>
  </cellXfs>
  <cellStyles count="1">
    <cellStyle name="一般" xfId="0" builtinId="0"/>
  </cellStyles>
  <dxfs count="2">
    <dxf>
      <font>
        <strike val="0"/>
        <outline val="0"/>
        <shadow val="0"/>
        <u val="none"/>
        <vertAlign val="baseline"/>
        <sz val="11"/>
        <color rgb="FFFF0000"/>
      </font>
      <fill>
        <patternFill patternType="solid">
          <fgColor indexed="64"/>
          <bgColor rgb="FFFFFF00"/>
        </patternFill>
      </fill>
    </dxf>
    <dxf>
      <alignment horizontal="general" vertical="bottom" textRotation="0" wrapText="0" indent="0" shrinkToFit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蕭名智" refreshedDate="44129.830948495372" createdVersion="6" refreshedVersion="6" minRefreshableVersion="3" recordCount="3" xr:uid="{166E143D-A324-4C73-BD34-9B5F4CC86543}">
  <cacheSource type="worksheet">
    <worksheetSource name="表格1"/>
  </cacheSource>
  <cacheFields count="3">
    <cacheField name="欄1" numFmtId="0">
      <sharedItems containsString="0" containsBlank="1" containsNumber="1" containsInteger="1" minValue="1" maxValue="1"/>
    </cacheField>
    <cacheField name="欄2" numFmtId="0">
      <sharedItems containsString="0" containsBlank="1" containsNumber="1" containsInteger="1" minValue="2" maxValue="2"/>
    </cacheField>
    <cacheField name="欄3" numFmtId="0">
      <sharedItems containsMixedTypes="1" containsNumber="1" containsInteger="1" minValue="3" maxValue="3" count="2">
        <n v="3"/>
        <s v="我我我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n v="1"/>
    <n v="2"/>
    <x v="0"/>
  </r>
  <r>
    <m/>
    <n v="2"/>
    <x v="1"/>
  </r>
  <r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5C465A-C891-47FA-9E4C-31C31BC637F3}" name="樞紐分析表1" cacheId="0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>
  <location ref="A3:B6" firstHeaderRow="1" firstDataRow="1" firstDataCol="1"/>
  <pivotFields count="3">
    <pivotField dataField="1" showAll="0"/>
    <pivotField showAll="0"/>
    <pivotField axis="axisRow" showAll="0">
      <items count="3">
        <item x="0"/>
        <item x="1"/>
        <item t="default"/>
      </items>
    </pivotField>
  </pivotFields>
  <rowFields count="1">
    <field x="2"/>
  </rowFields>
  <rowItems count="3">
    <i>
      <x/>
    </i>
    <i>
      <x v="1"/>
    </i>
    <i t="grand">
      <x/>
    </i>
  </rowItems>
  <colItems count="1">
    <i/>
  </colItems>
  <dataFields count="1">
    <dataField name="加總 - 欄1" fld="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892B0F0-C7FA-472A-AEEF-E0E6D5A29CA3}" name="表格1" displayName="表格1" ref="A1:C4" totalsRowShown="0">
  <autoFilter ref="A1:C4" xr:uid="{F5A67C33-A124-4689-B84A-56C1D996194B}"/>
  <tableColumns count="3">
    <tableColumn id="1" xr3:uid="{E2ED75BC-B3DB-4FFF-8472-2B33BA546916}" name="欄1"/>
    <tableColumn id="2" xr3:uid="{9C478FD4-542E-4EC1-9641-95B13D9F1CBE}" name="欄2"/>
    <tableColumn id="3" xr3:uid="{A31C54FF-6831-4E44-A28E-508643F5F327}" name="欄3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O100"/>
  <sheetViews>
    <sheetView topLeftCell="A59" zoomScaleNormal="100" workbookViewId="0">
      <selection activeCell="B100" sqref="B100"/>
    </sheetView>
  </sheetViews>
  <sheetFormatPr defaultRowHeight="14.4" x14ac:dyDescent="0.3"/>
  <cols>
    <col min="1" max="1" width="3.6640625"/>
    <col min="2" max="2" width="37.6640625"/>
    <col min="4" max="14" width="8.5546875"/>
    <col min="15" max="15" width="7.44140625"/>
    <col min="16" max="1025" width="8.5546875"/>
  </cols>
  <sheetData>
    <row r="1" spans="2:15" ht="14.4" customHeight="1" x14ac:dyDescent="0.3">
      <c r="B1" s="31" t="s">
        <v>0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</row>
    <row r="2" spans="2:15" ht="49.2" customHeight="1" x14ac:dyDescent="0.3"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</row>
    <row r="3" spans="2:15" ht="38.4" customHeight="1" x14ac:dyDescent="0.35">
      <c r="B3" s="32" t="s">
        <v>1</v>
      </c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</row>
    <row r="5" spans="2:15" ht="15.6" x14ac:dyDescent="0.3">
      <c r="B5" s="33" t="s">
        <v>2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</row>
    <row r="6" spans="2:15" ht="15.6" x14ac:dyDescent="0.3">
      <c r="B6" s="34" t="s">
        <v>3</v>
      </c>
      <c r="C6" s="33" t="s">
        <v>4</v>
      </c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</row>
    <row r="7" spans="2:15" ht="15.6" x14ac:dyDescent="0.3">
      <c r="B7" s="34"/>
      <c r="C7" s="1" t="s">
        <v>5</v>
      </c>
      <c r="D7" s="1">
        <v>1</v>
      </c>
      <c r="E7" s="1">
        <v>2</v>
      </c>
      <c r="F7" s="1">
        <v>3</v>
      </c>
      <c r="G7" s="1">
        <v>4</v>
      </c>
      <c r="H7" s="1">
        <v>5</v>
      </c>
      <c r="I7" s="1">
        <v>6</v>
      </c>
      <c r="J7" s="1">
        <v>7</v>
      </c>
      <c r="K7" s="1">
        <v>8</v>
      </c>
      <c r="L7" s="1">
        <v>9</v>
      </c>
      <c r="M7" s="1">
        <v>10</v>
      </c>
      <c r="N7" s="1">
        <v>11</v>
      </c>
      <c r="O7" s="1">
        <v>12</v>
      </c>
    </row>
    <row r="8" spans="2:15" ht="15.6" x14ac:dyDescent="0.3">
      <c r="B8" s="2" t="s">
        <v>6</v>
      </c>
      <c r="C8" s="3">
        <v>2700</v>
      </c>
      <c r="D8" s="4">
        <v>5160</v>
      </c>
      <c r="E8" s="4">
        <v>9590</v>
      </c>
      <c r="F8" s="4">
        <v>13520</v>
      </c>
      <c r="G8" s="4">
        <v>16710</v>
      </c>
      <c r="H8" s="4">
        <v>18190</v>
      </c>
      <c r="I8" s="4">
        <v>19660</v>
      </c>
      <c r="J8" s="4">
        <v>20650</v>
      </c>
      <c r="K8" s="4">
        <v>21630</v>
      </c>
      <c r="L8" s="4">
        <v>22610</v>
      </c>
      <c r="M8" s="4">
        <v>23350</v>
      </c>
      <c r="N8" s="4">
        <v>23840</v>
      </c>
      <c r="O8" s="4">
        <v>24580</v>
      </c>
    </row>
    <row r="9" spans="2:15" ht="15.6" x14ac:dyDescent="0.3">
      <c r="B9" s="2" t="s">
        <v>7</v>
      </c>
      <c r="C9" s="5">
        <v>810</v>
      </c>
      <c r="D9" s="4">
        <v>1540</v>
      </c>
      <c r="E9" s="4">
        <v>2870</v>
      </c>
      <c r="F9" s="4">
        <v>4040</v>
      </c>
      <c r="G9" s="4">
        <v>5000</v>
      </c>
      <c r="H9" s="4">
        <v>5440</v>
      </c>
      <c r="I9" s="4">
        <v>5880</v>
      </c>
      <c r="J9" s="4">
        <v>6170</v>
      </c>
      <c r="K9" s="4">
        <v>6470</v>
      </c>
      <c r="L9" s="4">
        <v>6760</v>
      </c>
      <c r="M9" s="4">
        <v>6980</v>
      </c>
      <c r="N9" s="4">
        <v>7130</v>
      </c>
      <c r="O9" s="4">
        <v>7350</v>
      </c>
    </row>
    <row r="10" spans="2:15" ht="15.6" x14ac:dyDescent="0.3">
      <c r="B10" s="2" t="s">
        <v>8</v>
      </c>
      <c r="C10" s="4">
        <v>4510</v>
      </c>
      <c r="D10" s="4">
        <v>8610</v>
      </c>
      <c r="E10" s="4">
        <v>16000</v>
      </c>
      <c r="F10" s="4">
        <v>22560</v>
      </c>
      <c r="G10" s="4">
        <v>27900</v>
      </c>
      <c r="H10" s="4">
        <v>30360</v>
      </c>
      <c r="I10" s="4">
        <v>32820</v>
      </c>
      <c r="J10" s="4">
        <v>34460</v>
      </c>
      <c r="K10" s="4">
        <v>36100</v>
      </c>
      <c r="L10" s="4">
        <v>37740</v>
      </c>
      <c r="M10" s="4">
        <v>38970</v>
      </c>
      <c r="N10" s="4">
        <v>39790</v>
      </c>
      <c r="O10" s="4">
        <v>41020</v>
      </c>
    </row>
    <row r="11" spans="2:15" ht="15.6" x14ac:dyDescent="0.3">
      <c r="B11" s="2" t="s">
        <v>9</v>
      </c>
      <c r="C11" s="4">
        <v>900</v>
      </c>
      <c r="D11" s="4">
        <v>1730</v>
      </c>
      <c r="E11" s="4">
        <v>3210</v>
      </c>
      <c r="F11" s="4">
        <v>4520</v>
      </c>
      <c r="G11" s="4">
        <v>5590</v>
      </c>
      <c r="H11" s="4">
        <v>6080</v>
      </c>
      <c r="I11" s="4">
        <v>6580</v>
      </c>
      <c r="J11" s="4">
        <v>6910</v>
      </c>
      <c r="K11" s="4">
        <v>7230</v>
      </c>
      <c r="L11" s="4">
        <v>7560</v>
      </c>
      <c r="M11" s="4">
        <v>7810</v>
      </c>
      <c r="N11" s="4">
        <v>7970</v>
      </c>
      <c r="O11" s="4">
        <v>8220</v>
      </c>
    </row>
    <row r="12" spans="2:15" ht="15.6" x14ac:dyDescent="0.3">
      <c r="B12" s="2" t="s">
        <v>10</v>
      </c>
      <c r="C12" s="4">
        <v>7740</v>
      </c>
      <c r="D12" s="4">
        <v>13890</v>
      </c>
      <c r="E12" s="4">
        <v>23040</v>
      </c>
      <c r="F12" s="4">
        <v>32200</v>
      </c>
      <c r="G12" s="4">
        <v>41350</v>
      </c>
      <c r="H12" s="4">
        <v>50510</v>
      </c>
      <c r="I12" s="4">
        <v>59660</v>
      </c>
      <c r="J12" s="4">
        <v>68820</v>
      </c>
      <c r="K12" s="4">
        <v>77980</v>
      </c>
      <c r="L12" s="4">
        <v>87130</v>
      </c>
      <c r="M12" s="4">
        <v>96290</v>
      </c>
      <c r="N12" s="4">
        <v>105440</v>
      </c>
      <c r="O12" s="4">
        <v>114600</v>
      </c>
    </row>
    <row r="13" spans="2:15" ht="15.6" x14ac:dyDescent="0.3">
      <c r="B13" s="2" t="s">
        <v>11</v>
      </c>
      <c r="C13" s="4">
        <v>1350</v>
      </c>
      <c r="D13" s="4">
        <v>2580</v>
      </c>
      <c r="E13" s="4">
        <v>4800</v>
      </c>
      <c r="F13" s="4">
        <v>6760</v>
      </c>
      <c r="G13" s="4">
        <v>8360</v>
      </c>
      <c r="H13" s="4">
        <v>9100</v>
      </c>
      <c r="I13" s="4">
        <v>9840</v>
      </c>
      <c r="J13" s="4">
        <v>10330</v>
      </c>
      <c r="K13" s="4">
        <v>10820</v>
      </c>
      <c r="L13" s="4">
        <v>11310</v>
      </c>
      <c r="M13" s="4">
        <v>11680</v>
      </c>
      <c r="N13" s="4">
        <v>11930</v>
      </c>
      <c r="O13" s="4">
        <v>12300</v>
      </c>
    </row>
    <row r="14" spans="2:15" ht="15.6" x14ac:dyDescent="0.3">
      <c r="B14" s="2" t="s">
        <v>12</v>
      </c>
      <c r="C14" s="4">
        <v>1650</v>
      </c>
      <c r="D14" s="4">
        <v>3150</v>
      </c>
      <c r="E14" s="4">
        <v>5850</v>
      </c>
      <c r="F14" s="4">
        <v>8250</v>
      </c>
      <c r="G14" s="4">
        <v>10200</v>
      </c>
      <c r="H14" s="4">
        <v>11100</v>
      </c>
      <c r="I14" s="4">
        <v>12000</v>
      </c>
      <c r="J14" s="4">
        <v>12600</v>
      </c>
      <c r="K14" s="4">
        <v>13200</v>
      </c>
      <c r="L14" s="4">
        <v>13800</v>
      </c>
      <c r="M14" s="4">
        <v>14250</v>
      </c>
      <c r="N14" s="4">
        <v>14550</v>
      </c>
      <c r="O14" s="4">
        <v>15000</v>
      </c>
    </row>
    <row r="15" spans="2:15" ht="45" customHeight="1" x14ac:dyDescent="0.3"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</row>
    <row r="16" spans="2:15" ht="14.4" customHeight="1" x14ac:dyDescent="0.3">
      <c r="B16" s="31" t="s">
        <v>0</v>
      </c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</row>
    <row r="17" spans="2:15" ht="38.4" customHeight="1" x14ac:dyDescent="0.3"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</row>
    <row r="19" spans="2:15" ht="55.2" customHeight="1" x14ac:dyDescent="0.35">
      <c r="B19" s="32" t="s">
        <v>13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</row>
    <row r="21" spans="2:15" ht="15.6" x14ac:dyDescent="0.3">
      <c r="B21" s="33" t="s">
        <v>2</v>
      </c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</row>
    <row r="22" spans="2:15" ht="15.6" x14ac:dyDescent="0.3">
      <c r="B22" s="34" t="s">
        <v>3</v>
      </c>
      <c r="C22" s="33" t="s">
        <v>4</v>
      </c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</row>
    <row r="23" spans="2:15" ht="15.6" x14ac:dyDescent="0.3">
      <c r="B23" s="34"/>
      <c r="C23" s="1" t="s">
        <v>5</v>
      </c>
      <c r="D23" s="1">
        <v>1</v>
      </c>
      <c r="E23" s="1">
        <v>2</v>
      </c>
      <c r="F23" s="1">
        <v>3</v>
      </c>
      <c r="G23" s="1">
        <v>4</v>
      </c>
      <c r="H23" s="1">
        <v>5</v>
      </c>
      <c r="I23" s="1">
        <v>6</v>
      </c>
      <c r="J23" s="1">
        <v>7</v>
      </c>
      <c r="K23" s="1">
        <v>8</v>
      </c>
      <c r="L23" s="1">
        <v>9</v>
      </c>
      <c r="M23" s="1">
        <v>10</v>
      </c>
      <c r="N23" s="1">
        <v>11</v>
      </c>
      <c r="O23" s="1">
        <v>12</v>
      </c>
    </row>
    <row r="24" spans="2:15" ht="15.6" x14ac:dyDescent="0.3">
      <c r="B24" s="2" t="s">
        <v>6</v>
      </c>
      <c r="C24" s="4">
        <v>920</v>
      </c>
      <c r="D24" s="4">
        <v>1230</v>
      </c>
      <c r="E24" s="4">
        <v>1850</v>
      </c>
      <c r="F24" s="4">
        <v>2460</v>
      </c>
      <c r="G24" s="4">
        <v>3080</v>
      </c>
      <c r="H24" s="4">
        <v>3690</v>
      </c>
      <c r="I24" s="4">
        <v>4310</v>
      </c>
      <c r="J24" s="4">
        <v>4610</v>
      </c>
      <c r="K24" s="4">
        <v>4920</v>
      </c>
      <c r="L24" s="4">
        <v>5230</v>
      </c>
      <c r="M24" s="4">
        <v>5540</v>
      </c>
      <c r="N24" s="4">
        <v>5850</v>
      </c>
      <c r="O24" s="4">
        <v>6150</v>
      </c>
    </row>
    <row r="25" spans="2:15" ht="15.6" x14ac:dyDescent="0.3">
      <c r="B25" s="2" t="s">
        <v>7</v>
      </c>
      <c r="C25" s="4">
        <v>280</v>
      </c>
      <c r="D25" s="4">
        <v>370</v>
      </c>
      <c r="E25" s="4">
        <v>550</v>
      </c>
      <c r="F25" s="4">
        <v>740</v>
      </c>
      <c r="G25" s="4">
        <v>920</v>
      </c>
      <c r="H25" s="4">
        <v>1100</v>
      </c>
      <c r="I25" s="4">
        <v>1290</v>
      </c>
      <c r="J25" s="4">
        <v>1380</v>
      </c>
      <c r="K25" s="4">
        <v>1470</v>
      </c>
      <c r="L25" s="4">
        <v>1560</v>
      </c>
      <c r="M25" s="4">
        <v>1650</v>
      </c>
      <c r="N25" s="4">
        <v>1750</v>
      </c>
      <c r="O25" s="4">
        <v>1840</v>
      </c>
    </row>
    <row r="26" spans="2:15" ht="15.6" x14ac:dyDescent="0.3">
      <c r="B26" s="2" t="s">
        <v>8</v>
      </c>
      <c r="C26" s="4">
        <v>1570</v>
      </c>
      <c r="D26" s="4">
        <v>2090</v>
      </c>
      <c r="E26" s="4">
        <v>3140</v>
      </c>
      <c r="F26" s="4">
        <v>4180</v>
      </c>
      <c r="G26" s="4">
        <v>5230</v>
      </c>
      <c r="H26" s="4">
        <v>6270</v>
      </c>
      <c r="I26" s="4">
        <v>7320</v>
      </c>
      <c r="J26" s="4">
        <v>7840</v>
      </c>
      <c r="K26" s="4">
        <v>8370</v>
      </c>
      <c r="L26" s="4">
        <v>8890</v>
      </c>
      <c r="M26" s="4">
        <v>9410</v>
      </c>
      <c r="N26" s="4">
        <v>9940</v>
      </c>
      <c r="O26" s="4">
        <v>10460</v>
      </c>
    </row>
    <row r="27" spans="2:15" ht="15.6" x14ac:dyDescent="0.3">
      <c r="B27" s="2" t="s">
        <v>9</v>
      </c>
      <c r="C27" s="4">
        <v>310</v>
      </c>
      <c r="D27" s="4">
        <v>420</v>
      </c>
      <c r="E27" s="4">
        <v>630</v>
      </c>
      <c r="F27" s="4">
        <v>840</v>
      </c>
      <c r="G27" s="4">
        <v>1040</v>
      </c>
      <c r="H27" s="4">
        <v>1250</v>
      </c>
      <c r="I27" s="4">
        <v>1460</v>
      </c>
      <c r="J27" s="4">
        <v>1570</v>
      </c>
      <c r="K27" s="4">
        <v>1670</v>
      </c>
      <c r="L27" s="4">
        <v>1780</v>
      </c>
      <c r="M27" s="4">
        <v>1880</v>
      </c>
      <c r="N27" s="4">
        <v>1990</v>
      </c>
      <c r="O27" s="4">
        <v>2090</v>
      </c>
    </row>
    <row r="28" spans="2:15" ht="15.6" x14ac:dyDescent="0.3">
      <c r="B28" s="2" t="s">
        <v>10</v>
      </c>
      <c r="C28" s="4">
        <v>1920</v>
      </c>
      <c r="D28" s="4">
        <v>3450</v>
      </c>
      <c r="E28" s="4">
        <v>5730</v>
      </c>
      <c r="F28" s="4">
        <v>8010</v>
      </c>
      <c r="G28" s="4">
        <v>10280</v>
      </c>
      <c r="H28" s="4">
        <v>12560</v>
      </c>
      <c r="I28" s="4">
        <v>14840</v>
      </c>
      <c r="J28" s="4">
        <v>17110</v>
      </c>
      <c r="K28" s="4">
        <v>19390</v>
      </c>
      <c r="L28" s="4">
        <v>21670</v>
      </c>
      <c r="M28" s="4">
        <v>23940</v>
      </c>
      <c r="N28" s="4">
        <v>26220</v>
      </c>
      <c r="O28" s="4">
        <v>28500</v>
      </c>
    </row>
    <row r="29" spans="2:15" ht="15.6" x14ac:dyDescent="0.3">
      <c r="B29" s="2" t="s">
        <v>11</v>
      </c>
      <c r="C29" s="4">
        <v>460</v>
      </c>
      <c r="D29" s="4">
        <v>610</v>
      </c>
      <c r="E29" s="4">
        <v>910</v>
      </c>
      <c r="F29" s="4">
        <v>1210</v>
      </c>
      <c r="G29" s="4">
        <v>1520</v>
      </c>
      <c r="H29" s="4">
        <v>1820</v>
      </c>
      <c r="I29" s="4">
        <v>2120</v>
      </c>
      <c r="J29" s="4">
        <v>2280</v>
      </c>
      <c r="K29" s="4">
        <v>2430</v>
      </c>
      <c r="L29" s="4">
        <v>2580</v>
      </c>
      <c r="M29" s="4">
        <v>2730</v>
      </c>
      <c r="N29" s="4">
        <v>2880</v>
      </c>
      <c r="O29" s="4">
        <v>3030</v>
      </c>
    </row>
    <row r="30" spans="2:15" ht="15.6" x14ac:dyDescent="0.3">
      <c r="B30" s="2" t="s">
        <v>12</v>
      </c>
      <c r="C30" s="4">
        <v>560</v>
      </c>
      <c r="D30" s="4">
        <v>750</v>
      </c>
      <c r="E30" s="4">
        <v>1130</v>
      </c>
      <c r="F30" s="4">
        <v>1500</v>
      </c>
      <c r="G30" s="4">
        <v>1880</v>
      </c>
      <c r="H30" s="4">
        <v>2260</v>
      </c>
      <c r="I30" s="4">
        <v>2630</v>
      </c>
      <c r="J30" s="4">
        <v>2820</v>
      </c>
      <c r="K30" s="4">
        <v>3010</v>
      </c>
      <c r="L30" s="4">
        <v>3200</v>
      </c>
      <c r="M30" s="4">
        <v>3380</v>
      </c>
      <c r="N30" s="4">
        <v>3570</v>
      </c>
      <c r="O30" s="4">
        <v>3760</v>
      </c>
    </row>
    <row r="31" spans="2:15" ht="46.5" customHeight="1" x14ac:dyDescent="0.3">
      <c r="B31" s="35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</row>
    <row r="32" spans="2:15" x14ac:dyDescent="0.3">
      <c r="B32" s="6"/>
      <c r="C32" s="7"/>
      <c r="D32" s="7"/>
      <c r="E32" s="8"/>
    </row>
    <row r="33" spans="2:5" x14ac:dyDescent="0.3">
      <c r="B33" s="9" t="s">
        <v>14</v>
      </c>
      <c r="E33" s="10"/>
    </row>
    <row r="34" spans="2:5" x14ac:dyDescent="0.3">
      <c r="B34" s="36"/>
      <c r="C34" s="36"/>
      <c r="D34" s="36"/>
      <c r="E34" s="36"/>
    </row>
    <row r="35" spans="2:5" x14ac:dyDescent="0.3">
      <c r="B35" s="11">
        <f>B36+D30</f>
        <v>25295</v>
      </c>
      <c r="E35" s="10"/>
    </row>
    <row r="36" spans="2:5" x14ac:dyDescent="0.3">
      <c r="B36" s="11">
        <v>24545</v>
      </c>
      <c r="E36" s="10"/>
    </row>
    <row r="37" spans="2:5" x14ac:dyDescent="0.3">
      <c r="B37" s="12"/>
      <c r="C37" s="13"/>
      <c r="D37" s="13"/>
      <c r="E37" s="14"/>
    </row>
    <row r="38" spans="2:5" x14ac:dyDescent="0.3">
      <c r="B38" s="15">
        <f ca="1">NOW()</f>
        <v>44129.938051273151</v>
      </c>
      <c r="E38" s="16">
        <v>1234</v>
      </c>
    </row>
    <row r="39" spans="2:5" x14ac:dyDescent="0.3">
      <c r="B39" s="17">
        <f ca="1">NOW()</f>
        <v>44129.938051273151</v>
      </c>
      <c r="D39" s="18" t="s">
        <v>15</v>
      </c>
    </row>
    <row r="40" spans="2:5" x14ac:dyDescent="0.3">
      <c r="B40" s="19">
        <f ca="1">TODAY()</f>
        <v>44129</v>
      </c>
      <c r="D40" s="18" t="s">
        <v>16</v>
      </c>
    </row>
    <row r="41" spans="2:5" x14ac:dyDescent="0.3">
      <c r="B41" s="20">
        <v>0.90468749999999998</v>
      </c>
      <c r="D41" s="18" t="s">
        <v>16</v>
      </c>
    </row>
    <row r="42" spans="2:5" x14ac:dyDescent="0.3">
      <c r="B42" s="21">
        <f>B41- TIME(1, 0, 0)</f>
        <v>0.86302083333333335</v>
      </c>
    </row>
    <row r="43" spans="2:5" x14ac:dyDescent="0.3">
      <c r="B43" s="22"/>
    </row>
    <row r="45" spans="2:5" x14ac:dyDescent="0.3">
      <c r="B45" s="23"/>
    </row>
    <row r="47" spans="2:5" x14ac:dyDescent="0.3">
      <c r="B47" s="24"/>
    </row>
    <row r="100" spans="1:1" x14ac:dyDescent="0.3">
      <c r="A100" s="30"/>
    </row>
  </sheetData>
  <mergeCells count="13">
    <mergeCell ref="B31:O31"/>
    <mergeCell ref="B34:E34"/>
    <mergeCell ref="B15:O15"/>
    <mergeCell ref="B16:O17"/>
    <mergeCell ref="B19:O19"/>
    <mergeCell ref="B21:O21"/>
    <mergeCell ref="B22:B23"/>
    <mergeCell ref="C22:O22"/>
    <mergeCell ref="B1:O2"/>
    <mergeCell ref="B3:O3"/>
    <mergeCell ref="B5:O5"/>
    <mergeCell ref="B6:B7"/>
    <mergeCell ref="C6:O6"/>
  </mergeCells>
  <phoneticPr fontId="8" type="noConversion"/>
  <conditionalFormatting sqref="C24:I30">
    <cfRule type="cellIs" dxfId="1" priority="2" operator="greaterThan">
      <formula>1000</formula>
    </cfRule>
  </conditionalFormatting>
  <pageMargins left="0.7" right="0.7" top="0.75" bottom="0.75" header="0.51180555555555496" footer="0.51180555555555496"/>
  <pageSetup paperSize="9"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76F8A-A787-4B74-B14F-6585A1838B2F}">
  <sheetPr codeName="工作表2"/>
  <dimension ref="A3:B13"/>
  <sheetViews>
    <sheetView workbookViewId="0">
      <selection activeCell="B10" sqref="B10"/>
    </sheetView>
  </sheetViews>
  <sheetFormatPr defaultRowHeight="14.4" x14ac:dyDescent="0.3"/>
  <cols>
    <col min="1" max="1" width="9.77734375" bestFit="1" customWidth="1"/>
    <col min="2" max="2" width="10.109375" bestFit="1" customWidth="1"/>
  </cols>
  <sheetData>
    <row r="3" spans="1:2" x14ac:dyDescent="0.3">
      <c r="A3" s="28" t="s">
        <v>22</v>
      </c>
      <c r="B3" t="s">
        <v>21</v>
      </c>
    </row>
    <row r="4" spans="1:2" x14ac:dyDescent="0.3">
      <c r="A4" s="29">
        <v>3</v>
      </c>
      <c r="B4" s="27">
        <v>1</v>
      </c>
    </row>
    <row r="5" spans="1:2" x14ac:dyDescent="0.3">
      <c r="A5" s="29" t="s">
        <v>23</v>
      </c>
      <c r="B5" s="27"/>
    </row>
    <row r="6" spans="1:2" x14ac:dyDescent="0.3">
      <c r="A6" s="29" t="s">
        <v>24</v>
      </c>
      <c r="B6" s="27">
        <v>1</v>
      </c>
    </row>
    <row r="13" spans="1:2" x14ac:dyDescent="0.3">
      <c r="A13" s="30"/>
    </row>
  </sheetData>
  <phoneticPr fontId="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3"/>
  <dimension ref="A1:C13"/>
  <sheetViews>
    <sheetView tabSelected="1" zoomScaleNormal="100" workbookViewId="0">
      <selection activeCell="C6" sqref="C6"/>
    </sheetView>
  </sheetViews>
  <sheetFormatPr defaultRowHeight="14.4" x14ac:dyDescent="0.3"/>
  <cols>
    <col min="1" max="1025" width="8.5546875"/>
  </cols>
  <sheetData>
    <row r="1" spans="1:3" x14ac:dyDescent="0.3">
      <c r="A1" t="s">
        <v>17</v>
      </c>
      <c r="B1" t="s">
        <v>18</v>
      </c>
      <c r="C1" t="s">
        <v>19</v>
      </c>
    </row>
    <row r="2" spans="1:3" x14ac:dyDescent="0.3">
      <c r="A2">
        <v>1</v>
      </c>
      <c r="B2">
        <v>2</v>
      </c>
      <c r="C2" s="25">
        <v>3</v>
      </c>
    </row>
    <row r="3" spans="1:3" ht="15" x14ac:dyDescent="0.3">
      <c r="B3">
        <v>2</v>
      </c>
      <c r="C3" s="26" t="s">
        <v>20</v>
      </c>
    </row>
    <row r="4" spans="1:3" x14ac:dyDescent="0.3">
      <c r="C4" s="25">
        <v>3</v>
      </c>
    </row>
    <row r="13" spans="1:3" x14ac:dyDescent="0.3">
      <c r="A13" s="30"/>
    </row>
  </sheetData>
  <phoneticPr fontId="8" type="noConversion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4"/>
  <dimension ref="A1"/>
  <sheetViews>
    <sheetView zoomScaleNormal="100" workbookViewId="0"/>
  </sheetViews>
  <sheetFormatPr defaultRowHeight="14.4" x14ac:dyDescent="0.3"/>
  <cols>
    <col min="1" max="1025" width="8.5546875"/>
  </cols>
  <sheetData/>
  <phoneticPr fontId="8" type="noConversion"/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46130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123</vt:lpstr>
      <vt:lpstr>工作表1</vt:lpstr>
      <vt:lpstr>a</vt:lpstr>
      <vt:lpstr>Лист3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蕭名智</dc:creator>
  <cp:lastModifiedBy>蕭名智</cp:lastModifiedBy>
  <cp:revision>10</cp:revision>
  <dcterms:created xsi:type="dcterms:W3CDTF">2006-09-28T05:33:49Z</dcterms:created>
  <dcterms:modified xsi:type="dcterms:W3CDTF">2020-10-25T14:32:38Z</dcterms:modified>
  <dc:language>en-US</dc:language>
</cp:coreProperties>
</file>